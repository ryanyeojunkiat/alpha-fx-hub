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Setup" sheetId="1" state="visible" r:id="rId3"/>
    <sheet name="Trade Log" sheetId="2" state="visible" r:id="rId4"/>
    <sheet name="Entry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<sst xmlns="http://schemas.openxmlformats.org/spreadsheetml/2006/main" count="100" uniqueCount="99">
  <si>
    <t xml:space="preserve">ALPHA FX HUB — V6 CALLISTO ORDER SETUP</t>
  </si>
  <si>
    <t xml:space="preserve">Gold Engine V6 | Optimized Settings | 0.01 Lot × 5 Orders</t>
  </si>
  <si>
    <t xml:space="preserve">YOUR TRADE INPUT</t>
  </si>
  <si>
    <t xml:space="preserve">Direction:</t>
  </si>
  <si>
    <t xml:space="preserve">BUY</t>
  </si>
  <si>
    <t xml:space="preserve">← Type BUY or SELL</t>
  </si>
  <si>
    <t xml:space="preserve">Entry Price ($):</t>
  </si>
  <si>
    <t xml:space="preserve">← Enter your price</t>
  </si>
  <si>
    <t xml:space="preserve">Account Balance ($):</t>
  </si>
  <si>
    <t xml:space="preserve">OPTIMIZED PARAMETERS</t>
  </si>
  <si>
    <t xml:space="preserve">SL (pips):</t>
  </si>
  <si>
    <t xml:space="preserve">Lot per order:</t>
  </si>
  <si>
    <t xml:space="preserve">Number of orders:</t>
  </si>
  <si>
    <t xml:space="preserve">Pip value (1 pip = $):</t>
  </si>
  <si>
    <t xml:space="preserve">ORDER PLACEMENT TABLE</t>
  </si>
  <si>
    <t xml:space="preserve">Order</t>
  </si>
  <si>
    <t xml:space="preserve">Lot</t>
  </si>
  <si>
    <t xml:space="preserve">Entry</t>
  </si>
  <si>
    <t xml:space="preserve">SL Price</t>
  </si>
  <si>
    <t xml:space="preserve">TP Price</t>
  </si>
  <si>
    <t xml:space="preserve">TP Pips</t>
  </si>
  <si>
    <t xml:space="preserve">$ if TP Hit</t>
  </si>
  <si>
    <t xml:space="preserve">#1</t>
  </si>
  <si>
    <t xml:space="preserve">#2</t>
  </si>
  <si>
    <t xml:space="preserve">#3</t>
  </si>
  <si>
    <t xml:space="preserve">#4</t>
  </si>
  <si>
    <t xml:space="preserve">#5</t>
  </si>
  <si>
    <t xml:space="preserve">RISK &amp; REWARD SUMMARY</t>
  </si>
  <si>
    <t xml:space="preserve">Full SL Loss (worst case):</t>
  </si>
  <si>
    <t xml:space="preserve">Risk % of Account:</t>
  </si>
  <si>
    <t xml:space="preserve">TP1 Only + Rest BE:</t>
  </si>
  <si>
    <t xml:space="preserve">All 5 TPs Hit (best case):</t>
  </si>
  <si>
    <t xml:space="preserve">Max Daily Loss (2 trades):</t>
  </si>
  <si>
    <t xml:space="preserve">Trades to Blow Account:</t>
  </si>
  <si>
    <t xml:space="preserve">TRADE MANAGEMENT RULES</t>
  </si>
  <si>
    <t xml:space="preserve">1. Place all 5 orders at the SAME entry price</t>
  </si>
  <si>
    <t xml:space="preserve">2. All orders share the SAME SL (200 pips from entry)</t>
  </si>
  <si>
    <t xml:space="preserve">3. Each order has a DIFFERENT TP (200/400/600/800/1000 pips)</t>
  </si>
  <si>
    <t xml:space="preserve">4. When TP1 hits → IMMEDIATELY move SL for #2-#5 to Breakeven + 2 pips</t>
  </si>
  <si>
    <t xml:space="preserve">5. Let remaining orders run to their TPs</t>
  </si>
  <si>
    <t xml:space="preserve">6. MAX 2 losses per day — then STOP trading</t>
  </si>
  <si>
    <t xml:space="preserve">7. London (07:00-16:00 UTC) + NY (12:00-21:00 UTC) sessions ONLY</t>
  </si>
  <si>
    <t xml:space="preserve">8. Need Grade B or above from Alpha FX Engine</t>
  </si>
  <si>
    <t xml:space="preserve">9. Check MTF alignment (2/3 TFs must agree) before entry</t>
  </si>
  <si>
    <t xml:space="preserve">10. CHoCH must be confirmed by BODY close (not wick)</t>
  </si>
  <si>
    <t xml:space="preserve">BACKTEST PERFORMANCE (Oct 2025 - Apr 2026)</t>
  </si>
  <si>
    <t xml:space="preserve">Win Rate:</t>
  </si>
  <si>
    <t xml:space="preserve">51.8%</t>
  </si>
  <si>
    <t xml:space="preserve">Profit Factor:</t>
  </si>
  <si>
    <t xml:space="preserve">1.47</t>
  </si>
  <si>
    <t xml:space="preserve">Net P&amp;L:</t>
  </si>
  <si>
    <t xml:space="preserve">+$2,511 (+209%)</t>
  </si>
  <si>
    <t xml:space="preserve">Max Drawdown:</t>
  </si>
  <si>
    <t xml:space="preserve">33.2%</t>
  </si>
  <si>
    <t xml:space="preserve">Trades:</t>
  </si>
  <si>
    <t xml:space="preserve">112</t>
  </si>
  <si>
    <t xml:space="preserve">Profitable Months:</t>
  </si>
  <si>
    <t xml:space="preserve">5 out of 7</t>
  </si>
  <si>
    <t xml:space="preserve">TP1 Hit Rate:</t>
  </si>
  <si>
    <t xml:space="preserve">50.9%</t>
  </si>
  <si>
    <t xml:space="preserve">$1,200 → $3,711 in 6 months</t>
  </si>
  <si>
    <t xml:space="preserve">#</t>
  </si>
  <si>
    <t xml:space="preserve">Date</t>
  </si>
  <si>
    <t xml:space="preserve">Time</t>
  </si>
  <si>
    <t xml:space="preserve">Direction</t>
  </si>
  <si>
    <t xml:space="preserve">Entry Price</t>
  </si>
  <si>
    <t xml:space="preserve">TP1</t>
  </si>
  <si>
    <t xml:space="preserve">TP2</t>
  </si>
  <si>
    <t xml:space="preserve">TP3</t>
  </si>
  <si>
    <t xml:space="preserve">TP4</t>
  </si>
  <si>
    <t xml:space="preserve">TP5</t>
  </si>
  <si>
    <t xml:space="preserve">Grade</t>
  </si>
  <si>
    <t xml:space="preserve">TPs Hit</t>
  </si>
  <si>
    <t xml:space="preserve">Exit Reason</t>
  </si>
  <si>
    <t xml:space="preserve">P&amp;L ($)</t>
  </si>
  <si>
    <t xml:space="preserve">Balance ($)</t>
  </si>
  <si>
    <t xml:space="preserve">Notes</t>
  </si>
  <si>
    <t xml:space="preserve">PRE-TRADE CHECKLIST</t>
  </si>
  <si>
    <t xml:space="preserve">TREND</t>
  </si>
  <si>
    <t xml:space="preserve">[ ]  Daily + H4 trend identified</t>
  </si>
  <si>
    <t xml:space="preserve">[ ]  2/3 timeframes aligned (H4, H1, M15)</t>
  </si>
  <si>
    <t xml:space="preserve">REVERSAL</t>
  </si>
  <si>
    <t xml:space="preserve">[ ]  CHoCH confirmed on M15 (body close)</t>
  </si>
  <si>
    <t xml:space="preserve">[ ]  Price retesting CHoCH level</t>
  </si>
  <si>
    <t xml:space="preserve">CONTINUATION</t>
  </si>
  <si>
    <t xml:space="preserve">[ ]  Candle confirmation (rejection/engulfing)</t>
  </si>
  <si>
    <t xml:space="preserve">[ ]  SMA44 aligned with direction</t>
  </si>
  <si>
    <t xml:space="preserve">[ ]  H1 BOS confirms structure</t>
  </si>
  <si>
    <t xml:space="preserve">SESSION</t>
  </si>
  <si>
    <t xml:space="preserve">[ ]  London (07-16 UTC) or NY (12-21 UTC) active</t>
  </si>
  <si>
    <t xml:space="preserve">[ ]  Not within 30min of high-impact news</t>
  </si>
  <si>
    <t xml:space="preserve">RISK</t>
  </si>
  <si>
    <t xml:space="preserve">[ ]  Daily losses &lt; 2</t>
  </si>
  <si>
    <t xml:space="preserve">[ ]  Account has sufficient margin</t>
  </si>
  <si>
    <t xml:space="preserve">[ ]  Grade B or above from engine</t>
  </si>
  <si>
    <t xml:space="preserve">EXECUTE</t>
  </si>
  <si>
    <t xml:space="preserve">[ ]  All 5 orders placed at same entry</t>
  </si>
  <si>
    <t xml:space="preserve">[ ]  SL set at 200 pips from entry</t>
  </si>
  <si>
    <t xml:space="preserve">[ ]  TPs set at 200/400/600/800/1000 pips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</si>
</sst>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\$#,##0.00"/>
    <numFmt numFmtId="167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b val="true"/>
      <sz val="16"/>
      <color rgb="FFFFD700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4"/>
      <color rgb="FFFFD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D700"/>
      <name val="Arial"/>
      <family val="0"/>
      <charset val="1"/>
    </font>
    <font>
      <b val="true"/>
      <sz val="11"/>
      <color rgb="FFFF4444"/>
      <name val="Arial"/>
      <family val="0"/>
      <charset val="1"/>
    </font>
    <font>
      <b val="true"/>
      <sz val="11"/>
      <color rgb="FF00FF00"/>
      <name val="Arial"/>
      <family val="0"/>
      <charset val="1"/>
    </font>
    <font>
      <b val="true"/>
      <sz val="11"/>
      <color rgb="FFFFAA00"/>
      <name val="Arial"/>
      <family val="0"/>
      <charset val="1"/>
    </font>
    <font>
      <sz val="10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2D2D44"/>
        <bgColor rgb="FF2A2A4A"/>
      </patternFill>
    </fill>
    <fill>
      <patternFill patternType="solid">
        <fgColor rgb="FF2A2A4A"/>
        <bgColor rgb="FF2D2D4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A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AA00"/>
      <rgbColor rgb="FFFF4444"/>
      <rgbColor rgb="FF666699"/>
      <rgbColor rgb="FFAAAAAA"/>
      <rgbColor rgb="FF16213E"/>
      <rgbColor rgb="FF339966"/>
      <rgbColor rgb="FF1A1A2E"/>
      <rgbColor rgb="FF2A2A4A"/>
      <rgbColor rgb="FF993300"/>
      <rgbColor rgb="FF993366"/>
      <rgbColor rgb="FF333399"/>
      <rgbColor rgb="FF2D2D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9.7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17.35" hidden="false" customHeight="false" outlineLevel="0" collapsed="false">
      <c r="A5" s="1"/>
      <c r="B5" s="4" t="s">
        <v>2</v>
      </c>
      <c r="C5" s="4"/>
      <c r="D5" s="1"/>
      <c r="E5" s="1"/>
      <c r="F5" s="1"/>
      <c r="G5" s="1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/>
      <c r="B7" s="5" t="s">
        <v>3</v>
      </c>
      <c r="C7" s="6" t="s">
        <v>4</v>
      </c>
      <c r="D7" s="7" t="s">
        <v>5</v>
      </c>
      <c r="E7" s="1"/>
      <c r="F7" s="1"/>
      <c r="G7" s="1"/>
      <c r="H7" s="1"/>
    </row>
    <row r="8" customFormat="false" ht="15" hidden="false" customHeight="false" outlineLevel="0" collapsed="false">
      <c r="A8" s="1"/>
      <c r="B8" s="5" t="s">
        <v>6</v>
      </c>
      <c r="C8" s="8" t="n">
        <v>4500</v>
      </c>
      <c r="D8" s="7" t="s">
        <v>7</v>
      </c>
      <c r="E8" s="1"/>
      <c r="F8" s="1"/>
      <c r="G8" s="1"/>
      <c r="H8" s="1"/>
    </row>
    <row r="9" customFormat="false" ht="15" hidden="false" customHeight="false" outlineLevel="0" collapsed="false">
      <c r="A9" s="1"/>
      <c r="B9" s="5" t="s">
        <v>8</v>
      </c>
      <c r="C9" s="8" t="n">
        <v>1200</v>
      </c>
      <c r="D9" s="1"/>
      <c r="E9" s="1"/>
      <c r="F9" s="1"/>
      <c r="G9" s="1"/>
      <c r="H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17.35" hidden="false" customHeight="false" outlineLevel="0" collapsed="false">
      <c r="A11" s="1"/>
      <c r="B11" s="4" t="s">
        <v>9</v>
      </c>
      <c r="C11" s="4"/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1" t="s">
        <v>10</v>
      </c>
      <c r="C12" s="9" t="n">
        <v>200</v>
      </c>
      <c r="D12" s="1"/>
      <c r="E12" s="1"/>
      <c r="F12" s="1"/>
      <c r="G12" s="1"/>
      <c r="H12" s="1"/>
    </row>
    <row r="13" customFormat="false" ht="15" hidden="false" customHeight="false" outlineLevel="0" collapsed="false">
      <c r="A13" s="1"/>
      <c r="B13" s="1" t="s">
        <v>11</v>
      </c>
      <c r="C13" s="9" t="n">
        <v>0.01</v>
      </c>
      <c r="D13" s="1"/>
      <c r="E13" s="1"/>
      <c r="F13" s="1"/>
      <c r="G13" s="1"/>
      <c r="H13" s="1"/>
    </row>
    <row r="14" customFormat="false" ht="15" hidden="false" customHeight="false" outlineLevel="0" collapsed="false">
      <c r="A14" s="1"/>
      <c r="B14" s="1" t="s">
        <v>12</v>
      </c>
      <c r="C14" s="9" t="n">
        <v>5</v>
      </c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1" t="s">
        <v>13</v>
      </c>
      <c r="C15" s="9" t="n">
        <v>0.1</v>
      </c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7.35" hidden="false" customHeight="false" outlineLevel="0" collapsed="false">
      <c r="A17" s="1"/>
      <c r="B17" s="4" t="s">
        <v>14</v>
      </c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1"/>
      <c r="B18" s="10" t="s">
        <v>15</v>
      </c>
      <c r="C18" s="10" t="s">
        <v>16</v>
      </c>
      <c r="D18" s="10" t="s">
        <v>17</v>
      </c>
      <c r="E18" s="10" t="s">
        <v>18</v>
      </c>
      <c r="F18" s="10" t="s">
        <v>19</v>
      </c>
      <c r="G18" s="10" t="s">
        <v>20</v>
      </c>
      <c r="H18" s="10" t="s">
        <v>21</v>
      </c>
    </row>
    <row r="19" customFormat="false" ht="15" hidden="false" customHeight="false" outlineLevel="0" collapsed="false">
      <c r="A19" s="1"/>
      <c r="B19" s="11" t="s">
        <v>22</v>
      </c>
      <c r="C19" s="12" t="n">
        <v>0.01</v>
      </c>
      <c r="D19" s="13" t="n">
        <f aca="false">C8</f>
        <v>4500</v>
      </c>
      <c r="E19" s="14" t="n">
        <f aca="false">IF(C7="BUY",C8-C12*C15,C8+C12*C15)</f>
        <v>4480</v>
      </c>
      <c r="F19" s="15" t="n">
        <f aca="false">IF(C7="BUY",C8+200*C15,C8-200*C15)</f>
        <v>4520</v>
      </c>
      <c r="G19" s="12" t="n">
        <v>200</v>
      </c>
      <c r="H19" s="16" t="n">
        <f aca="false">C13*200*10</f>
        <v>20</v>
      </c>
    </row>
    <row r="20" customFormat="false" ht="15" hidden="false" customHeight="false" outlineLevel="0" collapsed="false">
      <c r="A20" s="1"/>
      <c r="B20" s="11" t="s">
        <v>23</v>
      </c>
      <c r="C20" s="12" t="n">
        <v>0.01</v>
      </c>
      <c r="D20" s="13" t="n">
        <f aca="false">C8</f>
        <v>4500</v>
      </c>
      <c r="E20" s="14" t="n">
        <f aca="false">IF(C7="BUY",C8-C12*C15,C8+C12*C15)</f>
        <v>4480</v>
      </c>
      <c r="F20" s="15" t="n">
        <f aca="false">IF(C7="BUY",C8+400*C15,C8-400*C15)</f>
        <v>4540</v>
      </c>
      <c r="G20" s="12" t="n">
        <v>400</v>
      </c>
      <c r="H20" s="16" t="n">
        <f aca="false">C13*400*10</f>
        <v>40</v>
      </c>
    </row>
    <row r="21" customFormat="false" ht="15" hidden="false" customHeight="false" outlineLevel="0" collapsed="false">
      <c r="A21" s="1"/>
      <c r="B21" s="11" t="s">
        <v>24</v>
      </c>
      <c r="C21" s="12" t="n">
        <v>0.01</v>
      </c>
      <c r="D21" s="13" t="n">
        <f aca="false">C8</f>
        <v>4500</v>
      </c>
      <c r="E21" s="14" t="n">
        <f aca="false">IF(C7="BUY",C8-C12*C15,C8+C12*C15)</f>
        <v>4480</v>
      </c>
      <c r="F21" s="15" t="n">
        <f aca="false">IF(C7="BUY",C8+600*C15,C8-600*C15)</f>
        <v>4560</v>
      </c>
      <c r="G21" s="12" t="n">
        <v>600</v>
      </c>
      <c r="H21" s="16" t="n">
        <f aca="false">C13*600*10</f>
        <v>60</v>
      </c>
    </row>
    <row r="22" customFormat="false" ht="15" hidden="false" customHeight="false" outlineLevel="0" collapsed="false">
      <c r="A22" s="1"/>
      <c r="B22" s="11" t="s">
        <v>25</v>
      </c>
      <c r="C22" s="12" t="n">
        <v>0.01</v>
      </c>
      <c r="D22" s="13" t="n">
        <f aca="false">C8</f>
        <v>4500</v>
      </c>
      <c r="E22" s="14" t="n">
        <f aca="false">IF(C7="BUY",C8-C12*C15,C8+C12*C15)</f>
        <v>4480</v>
      </c>
      <c r="F22" s="15" t="n">
        <f aca="false">IF(C7="BUY",C8+800*C15,C8-800*C15)</f>
        <v>4580</v>
      </c>
      <c r="G22" s="12" t="n">
        <v>800</v>
      </c>
      <c r="H22" s="16" t="n">
        <f aca="false">C13*800*10</f>
        <v>80</v>
      </c>
    </row>
    <row r="23" customFormat="false" ht="15" hidden="false" customHeight="false" outlineLevel="0" collapsed="false">
      <c r="A23" s="1"/>
      <c r="B23" s="11" t="s">
        <v>26</v>
      </c>
      <c r="C23" s="12" t="n">
        <v>0.01</v>
      </c>
      <c r="D23" s="13" t="n">
        <f aca="false">C8</f>
        <v>4500</v>
      </c>
      <c r="E23" s="14" t="n">
        <f aca="false">IF(C7="BUY",C8-C12*C15,C8+C12*C15)</f>
        <v>4480</v>
      </c>
      <c r="F23" s="15" t="n">
        <f aca="false">IF(C7="BUY",C8+1000*C15,C8-1000*C15)</f>
        <v>4600</v>
      </c>
      <c r="G23" s="12" t="n">
        <v>1000</v>
      </c>
      <c r="H23" s="16" t="n">
        <f aca="false">C13*1000*10</f>
        <v>100</v>
      </c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7.35" hidden="false" customHeight="false" outlineLevel="0" collapsed="false">
      <c r="A25" s="1"/>
      <c r="B25" s="4" t="s">
        <v>27</v>
      </c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7" t="s">
        <v>28</v>
      </c>
      <c r="C27" s="17"/>
      <c r="D27" s="17"/>
      <c r="E27" s="18" t="n">
        <f aca="false">-C13*C12*10*C14</f>
        <v>-100</v>
      </c>
      <c r="F27" s="1"/>
      <c r="G27" s="1"/>
      <c r="H27" s="1"/>
    </row>
    <row r="28" customFormat="false" ht="15" hidden="false" customHeight="false" outlineLevel="0" collapsed="false">
      <c r="A28" s="1"/>
      <c r="B28" s="17" t="s">
        <v>29</v>
      </c>
      <c r="C28" s="17"/>
      <c r="D28" s="17"/>
      <c r="E28" s="19" t="n">
        <f aca="false">-E27/C9</f>
        <v>0.0833333333333333</v>
      </c>
      <c r="F28" s="1"/>
      <c r="G28" s="1"/>
      <c r="H28" s="1"/>
    </row>
    <row r="29" customFormat="false" ht="15" hidden="false" customHeight="false" outlineLevel="0" collapsed="false">
      <c r="A29" s="1"/>
      <c r="B29" s="17" t="s">
        <v>30</v>
      </c>
      <c r="C29" s="17"/>
      <c r="D29" s="17"/>
      <c r="E29" s="20" t="n">
        <f aca="false">H19</f>
        <v>20</v>
      </c>
      <c r="F29" s="1"/>
      <c r="G29" s="1"/>
      <c r="H29" s="1"/>
    </row>
    <row r="30" customFormat="false" ht="15" hidden="false" customHeight="false" outlineLevel="0" collapsed="false">
      <c r="A30" s="1"/>
      <c r="B30" s="17" t="s">
        <v>31</v>
      </c>
      <c r="C30" s="17"/>
      <c r="D30" s="17"/>
      <c r="E30" s="20" t="n">
        <f aca="false">SUM(H19:H23)</f>
        <v>300</v>
      </c>
      <c r="F30" s="1"/>
      <c r="G30" s="1"/>
      <c r="H30" s="1"/>
    </row>
    <row r="31" customFormat="false" ht="15" hidden="false" customHeight="false" outlineLevel="0" collapsed="false">
      <c r="A31" s="1"/>
      <c r="B31" s="17" t="s">
        <v>32</v>
      </c>
      <c r="C31" s="17"/>
      <c r="D31" s="17"/>
      <c r="E31" s="18" t="n">
        <f aca="false">E27*2</f>
        <v>-200</v>
      </c>
      <c r="F31" s="1"/>
      <c r="G31" s="1"/>
      <c r="H31" s="1"/>
    </row>
    <row r="32" customFormat="false" ht="15" hidden="false" customHeight="false" outlineLevel="0" collapsed="false">
      <c r="A32" s="1"/>
      <c r="B32" s="17" t="s">
        <v>33</v>
      </c>
      <c r="C32" s="17"/>
      <c r="D32" s="17"/>
      <c r="E32" s="21" t="n">
        <f aca="false">INT(C9/ABS(E27))</f>
        <v>12</v>
      </c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7.35" hidden="false" customHeight="false" outlineLevel="0" collapsed="false">
      <c r="A34" s="1"/>
      <c r="B34" s="4" t="s">
        <v>34</v>
      </c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7" t="s">
        <v>35</v>
      </c>
      <c r="C36" s="17"/>
      <c r="D36" s="17"/>
      <c r="E36" s="17"/>
      <c r="F36" s="17"/>
      <c r="G36" s="17"/>
      <c r="H36" s="17"/>
    </row>
    <row r="37" customFormat="false" ht="15" hidden="false" customHeight="false" outlineLevel="0" collapsed="false">
      <c r="A37" s="1"/>
      <c r="B37" s="17" t="s">
        <v>36</v>
      </c>
      <c r="C37" s="17"/>
      <c r="D37" s="17"/>
      <c r="E37" s="17"/>
      <c r="F37" s="17"/>
      <c r="G37" s="17"/>
      <c r="H37" s="17"/>
    </row>
    <row r="38" customFormat="false" ht="15" hidden="false" customHeight="false" outlineLevel="0" collapsed="false">
      <c r="A38" s="1"/>
      <c r="B38" s="17" t="s">
        <v>37</v>
      </c>
      <c r="C38" s="17"/>
      <c r="D38" s="17"/>
      <c r="E38" s="17"/>
      <c r="F38" s="17"/>
      <c r="G38" s="17"/>
      <c r="H38" s="17"/>
    </row>
    <row r="39" customFormat="false" ht="15" hidden="false" customHeight="false" outlineLevel="0" collapsed="false">
      <c r="A39" s="1"/>
      <c r="B39" s="17" t="s">
        <v>38</v>
      </c>
      <c r="C39" s="17"/>
      <c r="D39" s="17"/>
      <c r="E39" s="17"/>
      <c r="F39" s="17"/>
      <c r="G39" s="17"/>
      <c r="H39" s="17"/>
    </row>
    <row r="40" customFormat="false" ht="15" hidden="false" customHeight="false" outlineLevel="0" collapsed="false">
      <c r="A40" s="1"/>
      <c r="B40" s="17" t="s">
        <v>39</v>
      </c>
      <c r="C40" s="17"/>
      <c r="D40" s="17"/>
      <c r="E40" s="17"/>
      <c r="F40" s="17"/>
      <c r="G40" s="17"/>
      <c r="H40" s="17"/>
    </row>
    <row r="41" customFormat="false" ht="15" hidden="false" customHeight="false" outlineLevel="0" collapsed="false">
      <c r="A41" s="1"/>
      <c r="B41" s="17" t="s">
        <v>40</v>
      </c>
      <c r="C41" s="17"/>
      <c r="D41" s="17"/>
      <c r="E41" s="17"/>
      <c r="F41" s="17"/>
      <c r="G41" s="17"/>
      <c r="H41" s="17"/>
    </row>
    <row r="42" customFormat="false" ht="15" hidden="false" customHeight="false" outlineLevel="0" collapsed="false">
      <c r="A42" s="1"/>
      <c r="B42" s="17" t="s">
        <v>41</v>
      </c>
      <c r="C42" s="17"/>
      <c r="D42" s="17"/>
      <c r="E42" s="17"/>
      <c r="F42" s="17"/>
      <c r="G42" s="17"/>
      <c r="H42" s="17"/>
    </row>
    <row r="43" customFormat="false" ht="15" hidden="false" customHeight="false" outlineLevel="0" collapsed="false">
      <c r="A43" s="1"/>
      <c r="B43" s="17" t="s">
        <v>42</v>
      </c>
      <c r="C43" s="17"/>
      <c r="D43" s="17"/>
      <c r="E43" s="17"/>
      <c r="F43" s="17"/>
      <c r="G43" s="17"/>
      <c r="H43" s="17"/>
    </row>
    <row r="44" customFormat="false" ht="15" hidden="false" customHeight="false" outlineLevel="0" collapsed="false">
      <c r="A44" s="1"/>
      <c r="B44" s="17" t="s">
        <v>43</v>
      </c>
      <c r="C44" s="17"/>
      <c r="D44" s="17"/>
      <c r="E44" s="17"/>
      <c r="F44" s="17"/>
      <c r="G44" s="17"/>
      <c r="H44" s="17"/>
    </row>
    <row r="45" customFormat="false" ht="15" hidden="false" customHeight="false" outlineLevel="0" collapsed="false">
      <c r="A45" s="1"/>
      <c r="B45" s="17" t="s">
        <v>44</v>
      </c>
      <c r="C45" s="17"/>
      <c r="D45" s="17"/>
      <c r="E45" s="17"/>
      <c r="F45" s="17"/>
      <c r="G45" s="17"/>
      <c r="H45" s="17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7.35" hidden="false" customHeight="false" outlineLevel="0" collapsed="false">
      <c r="A47" s="1"/>
      <c r="B47" s="4" t="s">
        <v>45</v>
      </c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5" t="s">
        <v>46</v>
      </c>
      <c r="C49" s="1"/>
      <c r="D49" s="22" t="s">
        <v>47</v>
      </c>
      <c r="E49" s="1"/>
      <c r="F49" s="1"/>
      <c r="G49" s="1"/>
      <c r="H49" s="1"/>
    </row>
    <row r="50" customFormat="false" ht="15" hidden="false" customHeight="false" outlineLevel="0" collapsed="false">
      <c r="A50" s="1"/>
      <c r="B50" s="5" t="s">
        <v>48</v>
      </c>
      <c r="C50" s="1"/>
      <c r="D50" s="22" t="s">
        <v>49</v>
      </c>
      <c r="E50" s="1"/>
      <c r="F50" s="1"/>
      <c r="G50" s="1"/>
      <c r="H50" s="1"/>
    </row>
    <row r="51" customFormat="false" ht="15" hidden="false" customHeight="false" outlineLevel="0" collapsed="false">
      <c r="A51" s="1"/>
      <c r="B51" s="5" t="s">
        <v>50</v>
      </c>
      <c r="C51" s="1"/>
      <c r="D51" s="22" t="s">
        <v>51</v>
      </c>
      <c r="E51" s="1"/>
      <c r="F51" s="1"/>
      <c r="G51" s="1"/>
      <c r="H51" s="1"/>
    </row>
    <row r="52" customFormat="false" ht="15" hidden="false" customHeight="false" outlineLevel="0" collapsed="false">
      <c r="A52" s="1"/>
      <c r="B52" s="5" t="s">
        <v>52</v>
      </c>
      <c r="C52" s="1"/>
      <c r="D52" s="22" t="s">
        <v>53</v>
      </c>
      <c r="E52" s="1"/>
      <c r="F52" s="1"/>
      <c r="G52" s="1"/>
      <c r="H52" s="1"/>
    </row>
    <row r="53" customFormat="false" ht="15" hidden="false" customHeight="false" outlineLevel="0" collapsed="false">
      <c r="A53" s="1"/>
      <c r="B53" s="5" t="s">
        <v>54</v>
      </c>
      <c r="C53" s="1"/>
      <c r="D53" s="22" t="s">
        <v>55</v>
      </c>
      <c r="E53" s="1"/>
      <c r="F53" s="1"/>
      <c r="G53" s="1"/>
      <c r="H53" s="1"/>
    </row>
    <row r="54" customFormat="false" ht="15" hidden="false" customHeight="false" outlineLevel="0" collapsed="false">
      <c r="A54" s="1"/>
      <c r="B54" s="5" t="s">
        <v>56</v>
      </c>
      <c r="C54" s="1"/>
      <c r="D54" s="22" t="s">
        <v>57</v>
      </c>
      <c r="E54" s="1"/>
      <c r="F54" s="1"/>
      <c r="G54" s="1"/>
      <c r="H54" s="1"/>
    </row>
    <row r="55" customFormat="false" ht="15" hidden="false" customHeight="false" outlineLevel="0" collapsed="false">
      <c r="B55" s="23" t="s">
        <v>58</v>
      </c>
      <c r="D55" s="24" t="s">
        <v>59</v>
      </c>
    </row>
    <row r="56" customFormat="false" ht="15" hidden="false" customHeight="false" outlineLevel="0" collapsed="false">
      <c r="B56" s="23" t="s">
        <v>60</v>
      </c>
      <c r="D56" s="24"/>
    </row>
  </sheetData>
  <mergeCells count="24">
    <mergeCell ref="B2:G2"/>
    <mergeCell ref="B3:G3"/>
    <mergeCell ref="B5:C5"/>
    <mergeCell ref="B11:C11"/>
    <mergeCell ref="B17:H17"/>
    <mergeCell ref="B25:H25"/>
    <mergeCell ref="B27:D27"/>
    <mergeCell ref="B28:D28"/>
    <mergeCell ref="B29:D29"/>
    <mergeCell ref="B30:D30"/>
    <mergeCell ref="B31:D31"/>
    <mergeCell ref="B32:D32"/>
    <mergeCell ref="B34:H34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A00"/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11" min="5" style="0" width="12"/>
    <col collapsed="false" customWidth="true" hidden="false" outlineLevel="0" max="12" min="12" style="0" width="8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20"/>
  </cols>
  <sheetData>
    <row r="1" customFormat="false" ht="15" hidden="false" customHeight="false" outlineLevel="0" collapsed="false">
      <c r="A1" s="25" t="s">
        <v>61</v>
      </c>
      <c r="B1" s="25" t="s">
        <v>62</v>
      </c>
      <c r="C1" s="25" t="s">
        <v>63</v>
      </c>
      <c r="D1" s="25" t="s">
        <v>64</v>
      </c>
      <c r="E1" s="25" t="s">
        <v>65</v>
      </c>
      <c r="F1" s="25" t="s">
        <v>18</v>
      </c>
      <c r="G1" s="25" t="s">
        <v>66</v>
      </c>
      <c r="H1" s="25" t="s">
        <v>67</v>
      </c>
      <c r="I1" s="25" t="s">
        <v>68</v>
      </c>
      <c r="J1" s="25" t="s">
        <v>69</v>
      </c>
      <c r="K1" s="25" t="s">
        <v>70</v>
      </c>
      <c r="L1" s="25" t="s">
        <v>71</v>
      </c>
      <c r="M1" s="25" t="s">
        <v>72</v>
      </c>
      <c r="N1" s="25" t="s">
        <v>73</v>
      </c>
      <c r="O1" s="25" t="s">
        <v>74</v>
      </c>
      <c r="P1" s="25" t="s">
        <v>75</v>
      </c>
      <c r="Q1" s="25" t="s">
        <v>76</v>
      </c>
    </row>
    <row r="2" customFormat="false" ht="15" hidden="false" customHeight="false" outlineLevel="0" collapsed="false">
      <c r="A2" s="26" t="n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7"/>
      <c r="P2" s="27"/>
      <c r="Q2" s="1"/>
    </row>
    <row r="3" customFormat="false" ht="15" hidden="false" customHeight="false" outlineLevel="0" collapsed="false">
      <c r="A3" s="26" t="n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7"/>
      <c r="P3" s="27"/>
      <c r="Q3" s="1"/>
    </row>
    <row r="4" customFormat="false" ht="15" hidden="false" customHeight="false" outlineLevel="0" collapsed="false">
      <c r="A4" s="26" t="n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7"/>
      <c r="P4" s="27"/>
      <c r="Q4" s="1"/>
    </row>
    <row r="5" customFormat="false" ht="15" hidden="false" customHeight="false" outlineLevel="0" collapsed="false">
      <c r="A5" s="26" t="n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7"/>
      <c r="P5" s="27"/>
      <c r="Q5" s="1"/>
    </row>
    <row r="6" customFormat="false" ht="15" hidden="false" customHeight="false" outlineLevel="0" collapsed="false">
      <c r="A6" s="26" t="n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7"/>
      <c r="P6" s="27"/>
      <c r="Q6" s="1"/>
    </row>
    <row r="7" customFormat="false" ht="15" hidden="false" customHeight="false" outlineLevel="0" collapsed="false">
      <c r="A7" s="26" t="n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7"/>
      <c r="P7" s="27"/>
      <c r="Q7" s="1"/>
    </row>
    <row r="8" customFormat="false" ht="15" hidden="false" customHeight="false" outlineLevel="0" collapsed="false">
      <c r="A8" s="26" t="n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7"/>
      <c r="P8" s="27"/>
      <c r="Q8" s="1"/>
    </row>
    <row r="9" customFormat="false" ht="15" hidden="false" customHeight="false" outlineLevel="0" collapsed="false">
      <c r="A9" s="26" t="n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7"/>
      <c r="P9" s="27"/>
      <c r="Q9" s="1"/>
    </row>
    <row r="10" customFormat="false" ht="15" hidden="false" customHeight="false" outlineLevel="0" collapsed="false">
      <c r="A10" s="26" t="n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7"/>
      <c r="P10" s="27"/>
      <c r="Q10" s="1"/>
    </row>
    <row r="11" customFormat="false" ht="15" hidden="false" customHeight="false" outlineLevel="0" collapsed="false">
      <c r="A11" s="26" t="n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7"/>
      <c r="P11" s="27"/>
      <c r="Q11" s="1"/>
    </row>
    <row r="12" customFormat="false" ht="15" hidden="false" customHeight="false" outlineLevel="0" collapsed="false">
      <c r="A12" s="26" t="n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7"/>
      <c r="P12" s="27"/>
      <c r="Q12" s="1"/>
    </row>
    <row r="13" customFormat="false" ht="15" hidden="false" customHeight="false" outlineLevel="0" collapsed="false">
      <c r="A13" s="26" t="n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7"/>
      <c r="P13" s="27"/>
      <c r="Q13" s="1"/>
    </row>
    <row r="14" customFormat="false" ht="15" hidden="false" customHeight="false" outlineLevel="0" collapsed="false">
      <c r="A14" s="26" t="n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7"/>
      <c r="P14" s="27"/>
      <c r="Q14" s="1"/>
    </row>
    <row r="15" customFormat="false" ht="15" hidden="false" customHeight="false" outlineLevel="0" collapsed="false">
      <c r="A15" s="26" t="n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7"/>
      <c r="P15" s="27"/>
      <c r="Q15" s="1"/>
    </row>
    <row r="16" customFormat="false" ht="15" hidden="false" customHeight="false" outlineLevel="0" collapsed="false">
      <c r="A16" s="26" t="n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7"/>
      <c r="P16" s="27"/>
      <c r="Q16" s="1"/>
    </row>
    <row r="17" customFormat="false" ht="15" hidden="false" customHeight="false" outlineLevel="0" collapsed="false">
      <c r="A17" s="26" t="n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7"/>
      <c r="P17" s="27"/>
      <c r="Q17" s="1"/>
    </row>
    <row r="18" customFormat="false" ht="15" hidden="false" customHeight="false" outlineLevel="0" collapsed="false">
      <c r="A18" s="26" t="n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7"/>
      <c r="P18" s="27"/>
      <c r="Q18" s="1"/>
    </row>
    <row r="19" customFormat="false" ht="15" hidden="false" customHeight="false" outlineLevel="0" collapsed="false">
      <c r="A19" s="26" t="n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7"/>
      <c r="P19" s="27"/>
      <c r="Q19" s="1"/>
    </row>
    <row r="20" customFormat="false" ht="15" hidden="false" customHeight="false" outlineLevel="0" collapsed="false">
      <c r="A20" s="26" t="n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7"/>
      <c r="P20" s="27"/>
      <c r="Q20" s="1"/>
    </row>
    <row r="21" customFormat="false" ht="15" hidden="false" customHeight="false" outlineLevel="0" collapsed="false">
      <c r="A21" s="26" t="n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7"/>
      <c r="P21" s="27"/>
      <c r="Q21" s="1"/>
    </row>
    <row r="22" customFormat="false" ht="15" hidden="false" customHeight="false" outlineLevel="0" collapsed="false">
      <c r="A22" s="26" t="n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7"/>
      <c r="P22" s="27"/>
      <c r="Q22" s="1"/>
    </row>
    <row r="23" customFormat="false" ht="15" hidden="false" customHeight="false" outlineLevel="0" collapsed="false">
      <c r="A23" s="26" t="n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7"/>
      <c r="P23" s="27"/>
      <c r="Q23" s="1"/>
    </row>
    <row r="24" customFormat="false" ht="15" hidden="false" customHeight="false" outlineLevel="0" collapsed="false">
      <c r="A24" s="26" t="n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7"/>
      <c r="P24" s="27"/>
      <c r="Q24" s="1"/>
    </row>
    <row r="25" customFormat="false" ht="15" hidden="false" customHeight="false" outlineLevel="0" collapsed="false">
      <c r="A25" s="26" t="n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7"/>
      <c r="P25" s="27"/>
      <c r="Q25" s="1"/>
    </row>
    <row r="26" customFormat="false" ht="15" hidden="false" customHeight="false" outlineLevel="0" collapsed="false">
      <c r="A26" s="26" t="n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7"/>
      <c r="P26" s="27"/>
      <c r="Q26" s="1"/>
    </row>
    <row r="27" customFormat="false" ht="15" hidden="false" customHeight="false" outlineLevel="0" collapsed="false">
      <c r="A27" s="26" t="n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7"/>
      <c r="P27" s="27"/>
      <c r="Q27" s="1"/>
    </row>
    <row r="28" customFormat="false" ht="15" hidden="false" customHeight="false" outlineLevel="0" collapsed="false">
      <c r="A28" s="26" t="n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7"/>
      <c r="P28" s="27"/>
      <c r="Q28" s="1"/>
    </row>
    <row r="29" customFormat="false" ht="15" hidden="false" customHeight="false" outlineLevel="0" collapsed="false">
      <c r="A29" s="26" t="n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7"/>
      <c r="P29" s="27"/>
      <c r="Q29" s="1"/>
    </row>
    <row r="30" customFormat="false" ht="15" hidden="false" customHeight="false" outlineLevel="0" collapsed="false">
      <c r="A30" s="26" t="n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7"/>
      <c r="P30" s="27"/>
      <c r="Q30" s="1"/>
    </row>
    <row r="31" customFormat="false" ht="15" hidden="false" customHeight="false" outlineLevel="0" collapsed="false">
      <c r="A31" s="26" t="n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7"/>
      <c r="P31" s="27"/>
      <c r="Q31" s="1"/>
    </row>
    <row r="32" customFormat="false" ht="15" hidden="false" customHeight="false" outlineLevel="0" collapsed="false">
      <c r="A32" s="26" t="n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7"/>
      <c r="P32" s="27"/>
      <c r="Q32" s="1"/>
    </row>
    <row r="33" customFormat="false" ht="15" hidden="false" customHeight="false" outlineLevel="0" collapsed="false">
      <c r="A33" s="26" t="n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7"/>
      <c r="P33" s="27"/>
      <c r="Q33" s="1"/>
    </row>
    <row r="34" customFormat="false" ht="15" hidden="false" customHeight="false" outlineLevel="0" collapsed="false">
      <c r="A34" s="26" t="n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7"/>
      <c r="P34" s="27"/>
      <c r="Q34" s="1"/>
    </row>
    <row r="35" customFormat="false" ht="15" hidden="false" customHeight="false" outlineLevel="0" collapsed="false">
      <c r="A35" s="26" t="n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7"/>
      <c r="P35" s="27"/>
      <c r="Q35" s="1"/>
    </row>
    <row r="36" customFormat="false" ht="15" hidden="false" customHeight="false" outlineLevel="0" collapsed="false">
      <c r="A36" s="26" t="n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7"/>
      <c r="P36" s="27"/>
      <c r="Q36" s="1"/>
    </row>
    <row r="37" customFormat="false" ht="15" hidden="false" customHeight="false" outlineLevel="0" collapsed="false">
      <c r="A37" s="26" t="n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7"/>
      <c r="P37" s="27"/>
      <c r="Q37" s="1"/>
    </row>
    <row r="38" customFormat="false" ht="15" hidden="false" customHeight="false" outlineLevel="0" collapsed="false">
      <c r="A38" s="26" t="n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7"/>
      <c r="P38" s="27"/>
      <c r="Q38" s="1"/>
    </row>
    <row r="39" customFormat="false" ht="15" hidden="false" customHeight="false" outlineLevel="0" collapsed="false">
      <c r="A39" s="26" t="n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7"/>
      <c r="P39" s="27"/>
      <c r="Q39" s="1"/>
    </row>
    <row r="40" customFormat="false" ht="15" hidden="false" customHeight="false" outlineLevel="0" collapsed="false">
      <c r="A40" s="26" t="n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7"/>
      <c r="P40" s="27"/>
      <c r="Q40" s="1"/>
    </row>
    <row r="41" customFormat="false" ht="15" hidden="false" customHeight="false" outlineLevel="0" collapsed="false">
      <c r="A41" s="26" t="n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7"/>
      <c r="P41" s="27"/>
      <c r="Q41" s="1"/>
    </row>
    <row r="42" customFormat="false" ht="15" hidden="false" customHeight="false" outlineLevel="0" collapsed="false">
      <c r="A42" s="26" t="n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7"/>
      <c r="P42" s="27"/>
      <c r="Q42" s="1"/>
    </row>
    <row r="43" customFormat="false" ht="15" hidden="false" customHeight="false" outlineLevel="0" collapsed="false">
      <c r="A43" s="26" t="n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7"/>
      <c r="P43" s="27"/>
      <c r="Q43" s="1"/>
    </row>
    <row r="44" customFormat="false" ht="15" hidden="false" customHeight="false" outlineLevel="0" collapsed="false">
      <c r="A44" s="26" t="n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7"/>
      <c r="P44" s="27"/>
      <c r="Q44" s="1"/>
    </row>
    <row r="45" customFormat="false" ht="15" hidden="false" customHeight="false" outlineLevel="0" collapsed="false">
      <c r="A45" s="26" t="n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7"/>
      <c r="P45" s="27"/>
      <c r="Q45" s="1"/>
    </row>
    <row r="46" customFormat="false" ht="15" hidden="false" customHeight="false" outlineLevel="0" collapsed="false">
      <c r="A46" s="26" t="n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7"/>
      <c r="P46" s="27"/>
      <c r="Q46" s="1"/>
    </row>
    <row r="47" customFormat="false" ht="15" hidden="false" customHeight="false" outlineLevel="0" collapsed="false">
      <c r="A47" s="26" t="n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7"/>
      <c r="P47" s="27"/>
      <c r="Q47" s="1"/>
    </row>
    <row r="48" customFormat="false" ht="15" hidden="false" customHeight="false" outlineLevel="0" collapsed="false">
      <c r="A48" s="26" t="n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7"/>
      <c r="P48" s="27"/>
      <c r="Q48" s="1"/>
    </row>
    <row r="49" customFormat="false" ht="15" hidden="false" customHeight="false" outlineLevel="0" collapsed="false">
      <c r="A49" s="26" t="n">
        <v>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7"/>
      <c r="P49" s="27"/>
      <c r="Q49" s="1"/>
    </row>
    <row r="50" customFormat="false" ht="15" hidden="false" customHeight="false" outlineLevel="0" collapsed="false">
      <c r="A50" s="26" t="n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7"/>
      <c r="P50" s="27"/>
      <c r="Q50" s="1"/>
    </row>
    <row r="51" customFormat="false" ht="15" hidden="false" customHeight="false" outlineLevel="0" collapsed="false">
      <c r="A51" s="26" t="n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7"/>
      <c r="P51" s="27"/>
      <c r="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444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/>
      <c r="B1" s="4" t="s">
        <v>77</v>
      </c>
      <c r="C1" s="4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1"/>
      <c r="B3" s="28" t="s">
        <v>78</v>
      </c>
      <c r="C3" s="1" t="s">
        <v>79</v>
      </c>
      <c r="D3" s="1"/>
    </row>
    <row r="4" customFormat="false" ht="15" hidden="false" customHeight="false" outlineLevel="0" collapsed="false">
      <c r="A4" s="1"/>
      <c r="B4" s="1"/>
      <c r="C4" s="1" t="s">
        <v>80</v>
      </c>
      <c r="D4" s="1"/>
    </row>
    <row r="5" customFormat="false" ht="15" hidden="false" customHeight="false" outlineLevel="0" collapsed="false">
      <c r="A5" s="1"/>
      <c r="B5" s="28" t="s">
        <v>81</v>
      </c>
      <c r="C5" s="1" t="s">
        <v>82</v>
      </c>
      <c r="D5" s="1"/>
    </row>
    <row r="6" customFormat="false" ht="15" hidden="false" customHeight="false" outlineLevel="0" collapsed="false">
      <c r="A6" s="1"/>
      <c r="B6" s="1"/>
      <c r="C6" s="1" t="s">
        <v>83</v>
      </c>
      <c r="D6" s="1"/>
    </row>
    <row r="7" customFormat="false" ht="15" hidden="false" customHeight="false" outlineLevel="0" collapsed="false">
      <c r="A7" s="1"/>
      <c r="B7" s="28" t="s">
        <v>84</v>
      </c>
      <c r="C7" s="1" t="s">
        <v>85</v>
      </c>
      <c r="D7" s="1"/>
    </row>
    <row r="8" customFormat="false" ht="15" hidden="false" customHeight="false" outlineLevel="0" collapsed="false">
      <c r="A8" s="1"/>
      <c r="B8" s="1"/>
      <c r="C8" s="1" t="s">
        <v>86</v>
      </c>
      <c r="D8" s="1"/>
    </row>
    <row r="9" customFormat="false" ht="15" hidden="false" customHeight="false" outlineLevel="0" collapsed="false">
      <c r="A9" s="1"/>
      <c r="B9" s="1"/>
      <c r="C9" s="1" t="s">
        <v>87</v>
      </c>
      <c r="D9" s="1"/>
    </row>
    <row r="10" customFormat="false" ht="15" hidden="false" customHeight="false" outlineLevel="0" collapsed="false">
      <c r="A10" s="1"/>
      <c r="B10" s="28" t="s">
        <v>88</v>
      </c>
      <c r="C10" s="1" t="s">
        <v>89</v>
      </c>
      <c r="D10" s="1"/>
    </row>
    <row r="11" customFormat="false" ht="15" hidden="false" customHeight="false" outlineLevel="0" collapsed="false">
      <c r="A11" s="1"/>
      <c r="B11" s="1"/>
      <c r="C11" s="1" t="s">
        <v>90</v>
      </c>
      <c r="D11" s="1"/>
    </row>
    <row r="12" customFormat="false" ht="15" hidden="false" customHeight="false" outlineLevel="0" collapsed="false">
      <c r="A12" s="1"/>
      <c r="B12" s="28" t="s">
        <v>91</v>
      </c>
      <c r="C12" s="1" t="s">
        <v>92</v>
      </c>
      <c r="D12" s="1"/>
    </row>
    <row r="13" customFormat="false" ht="15" hidden="false" customHeight="false" outlineLevel="0" collapsed="false">
      <c r="A13" s="1"/>
      <c r="B13" s="1"/>
      <c r="C13" s="1" t="s">
        <v>93</v>
      </c>
      <c r="D13" s="1"/>
    </row>
    <row r="14" customFormat="false" ht="15" hidden="false" customHeight="false" outlineLevel="0" collapsed="false">
      <c r="A14" s="1"/>
      <c r="B14" s="1"/>
      <c r="C14" s="1" t="s">
        <v>94</v>
      </c>
      <c r="D14" s="1"/>
    </row>
    <row r="15" customFormat="false" ht="15" hidden="false" customHeight="false" outlineLevel="0" collapsed="false">
      <c r="A15" s="1"/>
      <c r="B15" s="28" t="s">
        <v>95</v>
      </c>
      <c r="C15" s="1" t="s">
        <v>96</v>
      </c>
      <c r="D15" s="1"/>
    </row>
    <row r="16" customFormat="false" ht="15" hidden="false" customHeight="false" outlineLevel="0" collapsed="false">
      <c r="A16" s="1"/>
      <c r="B16" s="1"/>
      <c r="C16" s="1" t="s">
        <v>97</v>
      </c>
      <c r="D16" s="1"/>
    </row>
    <row r="17" customFormat="false" ht="15" hidden="false" customHeight="false" outlineLevel="0" collapsed="false">
      <c r="A17" s="1"/>
      <c r="B17" s="1"/>
      <c r="C17" s="1" t="s">
        <v>98</v>
      </c>
      <c r="D17" s="1"/>
    </row>
    <row r="18" customFormat="false" ht="15" hidden="false" customHeight="false" outlineLevel="0" collapsed="false">
      <c r="A18" s="1"/>
      <c r="B18" s="1"/>
      <c r="C18" s="1"/>
      <c r="D18" s="1"/>
    </row>
    <row r="19" customFormat="false" ht="15" hidden="false" customHeight="false" outlineLevel="0" collapsed="false">
      <c r="A19" s="1"/>
      <c r="B19" s="1"/>
      <c r="C19" s="1"/>
      <c r="D19" s="1"/>
    </row>
    <row r="20" customFormat="false" ht="15" hidden="false" customHeight="false" outlineLevel="0" collapsed="false">
      <c r="A20" s="1"/>
      <c r="B20" s="1"/>
      <c r="C20" s="1"/>
      <c r="D20" s="1"/>
    </row>
    <row r="21" customFormat="false" ht="15" hidden="false" customHeight="false" outlineLevel="0" collapsed="false">
      <c r="A21" s="1"/>
      <c r="B21" s="1"/>
      <c r="C21" s="1"/>
      <c r="D21" s="1"/>
    </row>
    <row r="22" customFormat="false" ht="15" hidden="false" customHeight="false" outlineLevel="0" collapsed="false">
      <c r="A22" s="1"/>
      <c r="B22" s="1"/>
      <c r="C22" s="1"/>
      <c r="D22" s="1"/>
    </row>
    <row r="23" customFormat="false" ht="15" hidden="false" customHeight="false" outlineLevel="0" collapsed="false">
      <c r="A23" s="1"/>
      <c r="B23" s="1"/>
      <c r="C23" s="1"/>
      <c r="D23" s="1"/>
    </row>
    <row r="24" customFormat="false" ht="15" hidden="false" customHeight="false" outlineLevel="0" collapsed="false">
      <c r="A24" s="1"/>
      <c r="B24" s="1"/>
      <c r="C24" s="1"/>
      <c r="D24" s="1"/>
    </row>
    <row r="25" customFormat="false" ht="15" hidden="false" customHeight="false" outlineLevel="0" collapsed="false">
      <c r="A25" s="1"/>
      <c r="B25" s="1"/>
      <c r="C25" s="1"/>
      <c r="D25" s="1"/>
    </row>
    <row r="26" customFormat="false" ht="15" hidden="false" customHeight="false" outlineLevel="0" collapsed="false">
      <c r="A26" s="1"/>
      <c r="B26" s="1"/>
      <c r="C26" s="1"/>
      <c r="D26" s="1"/>
    </row>
    <row r="27" customFormat="false" ht="15" hidden="false" customHeight="false" outlineLevel="0" collapsed="false">
      <c r="A27" s="1"/>
      <c r="B27" s="1"/>
      <c r="C27" s="1"/>
      <c r="D27" s="1"/>
    </row>
    <row r="28" customFormat="false" ht="15" hidden="false" customHeight="false" outlineLevel="0" collapsed="false">
      <c r="A28" s="1"/>
      <c r="B28" s="1"/>
      <c r="C28" s="1"/>
      <c r="D28" s="1"/>
    </row>
    <row r="29" customFormat="false" ht="15" hidden="false" customHeight="false" outlineLevel="0" collapsed="false">
      <c r="A29" s="1"/>
      <c r="B29" s="1"/>
      <c r="C29" s="1"/>
      <c r="D29" s="1"/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2026-04-07T13:49:58Z</dcterms:created>
  <dc:creator>openpyxl</dc:creator>
  <dc:description/>
  <dc:language>en-US</dc:language>
  <cp:lastModifiedBy/>
  <dcterms:modified xsi:type="dcterms:W3CDTF">2026-04-07T13:49:58Z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